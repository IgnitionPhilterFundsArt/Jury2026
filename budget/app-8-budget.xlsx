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<sst xmlns="http://schemas.openxmlformats.org/spreadsheetml/2006/main" count="78" uniqueCount="71">
  <si>
    <t>Item</t>
  </si>
  <si>
    <t>Quantity</t>
  </si>
  <si>
    <t>Cost</t>
  </si>
  <si>
    <t>Source</t>
  </si>
  <si>
    <t>Seating area</t>
  </si>
  <si>
    <t>Playatech back boards</t>
  </si>
  <si>
    <t>Borrow</t>
  </si>
  <si>
    <t>Cushions</t>
  </si>
  <si>
    <t>Marketplace/borrow</t>
  </si>
  <si>
    <t>Rugs</t>
  </si>
  <si>
    <t>Marketplace</t>
  </si>
  <si>
    <t>Gazebo</t>
  </si>
  <si>
    <t>Gazebo frame</t>
  </si>
  <si>
    <t>1 1/4" 10ft conduit</t>
  </si>
  <si>
    <t>https://www.homedepot.com/p/1-1-4-in-x-10-ft-EMT-Conduit-101576/100400410</t>
  </si>
  <si>
    <t>Prayer cards</t>
  </si>
  <si>
    <t>DIY</t>
  </si>
  <si>
    <t>Decor</t>
  </si>
  <si>
    <t>DIY/borrow</t>
  </si>
  <si>
    <t>Solar lanterns</t>
  </si>
  <si>
    <t>https://www.amazon.com/Lanterns-Outdoor-Hanging-Decorative-Decorations/dp/B093KG6WXD/ref=sr_1_28?crid=2TTNJS7BHM2Z7&amp;dib=eyJ2IjoiMSJ9.NQwOkMOl7i3ejV9kLvryQDWnNDOqEClNGh1GLs8DlpSVDBdioYlPVR3nQfEDRSq5M41EOMCcBL-8lBdPx_fFLkk5ZgEpsQDRzRIY38n5dUvJbGAM5l4SZkpmHekh-bWqTCgLy7agytGTDVLLMXzNNC5qWU2-R6jaqBPtLbd3X3WCNVFPipFOH8mxrHE0TK44hc6sTzUTyYJiynygaJAhZ3v6J4r2AOFJJPeiQW8jGoU8mEqSSlVtgNl-MVSCdw4N.9nWmC1QT1fW_8sSg9lYADBY5_uFoLjH64UCr83HulJU&amp;dib_tag=se&amp;keywords=solar%2Blantern&amp;qid=1768613324&amp;s=hi&amp;sprefix=solar%2Blantern%2Ctools%2C162&amp;sr=1-28&amp;xpid=jgN0oPv86GCTc&amp;th=1</t>
  </si>
  <si>
    <t>Shepherd hooks</t>
  </si>
  <si>
    <t>https://www.amazon.com/Artibear-Shepherd-Outdoor-Hangers-Lanterns/dp/B0CS5TD2Z3/ref=sr_1_9?crid=2G3L26MYLFHYK&amp;dib=eyJ2IjoiMSJ9.JrkLm8ReY7W0ilElfgmciv2NNm399GcoU7DKbHbXrqVCcqBT6XwybQnnryrYpXsB9ogNYVP0k0bEEsMtgzuj5OPFQDQlhT_Ltou7VfE5pxjcUa5W3E-RtktaJac3rXzhlQZj2zUNXoQxj47C7k3_09TmCLt5CIxPXARPhjAEquSTpiy3ec4eu8veV7psX2-aW2yFmycKM7mnJFcwdRztj2mumyHOGGDtE8YWwfmw8rivXXwmk5grpxwdnV0BuRO-zeO735BAvFdJrDU-1-vEklDbqDAZqOtxJ_SYs2zro8Y.aezw9GCNM75gpHY266Hq-Xao1N3Z4EbqT2pbjdGt23Y&amp;dib_tag=se&amp;keywords=shepherd%2Bhook&amp;qid=1768613405&amp;s=hi&amp;sprefix=shepherd%2Bhook%2Ctools%2C151&amp;sr=1-9&amp;th=1</t>
  </si>
  <si>
    <t>Chandeleir</t>
  </si>
  <si>
    <t>Low Pressure Propane Effects</t>
  </si>
  <si>
    <t>3/8 copper tube</t>
  </si>
  <si>
    <t>100ft</t>
  </si>
  <si>
    <t>https://www.homedepot.com/p/Everbilt-3-8-in-x-20-ft-Soft-Copper-Refrigeration-Coil-Tubing-D-06020PS/202287075?source=shoppingads&amp;locale=en-US</t>
  </si>
  <si>
    <t>manifold</t>
  </si>
  <si>
    <t xml:space="preserve"> </t>
  </si>
  <si>
    <t>https://www.mcmaster.com/products/manifolds/thread-type~npt/manifolds-2~/straight-flow-rectangular-manifolds/</t>
  </si>
  <si>
    <t>copper flare fittings</t>
  </si>
  <si>
    <t>https://www.lowes.com/search?searchTerm=copper+flare+fittings</t>
  </si>
  <si>
    <t>Stainless steel wool</t>
  </si>
  <si>
    <t>5lb roll</t>
  </si>
  <si>
    <t>https://www.mcmaster.com/products/steel-wool/</t>
  </si>
  <si>
    <t>Propane hose</t>
  </si>
  <si>
    <t>150ft</t>
  </si>
  <si>
    <t>https://www.etrailer.com/Propane-Fittings/MB-Sturgis/MBS37FR.html?feed=npn&amp;gad_source=1&amp;gad_campaignid=22466978330&amp;gbraid=0AAAAAD_vMtngKP2luZWqXtXCg2dQg8YR4&amp;gclid=Cj0KCQjwuKnGBhD5ARIsAD19RsbZvaRnr4Pog58ZizeiMNhpP1ZfrrUUeiVxfIZ72skOgOM-1VMzgX4aAotnEALw_wcB</t>
  </si>
  <si>
    <t>Regulator</t>
  </si>
  <si>
    <t>https://www.lowes.com/pd/Mr-Heater-Propane-Low-Pressure-Regulator/1097963?user=shopping&amp;feed=yes&amp;srsltid=AfmBOor0mXckvWD_4WGiwqoaurRNNr7wQQdBDfMb2-vkmOFROFzs_UXfxXg</t>
  </si>
  <si>
    <t>ball valve</t>
  </si>
  <si>
    <t>https://www.lowes.com/pd/RELIABILT-3-4-in-FNPT-Brass-Ball-Valve/5015185049</t>
  </si>
  <si>
    <t>conduit hangers</t>
  </si>
  <si>
    <t>https://www.amazon.com/QWORK-Conduit-Hanger-Features-Zinc-Plated/dp/B0D9GKSKYV/ref=sr_1_5?crid=2U6MBJVOZB9XL&amp;dib=eyJ2IjoiMSJ9.LOAnI2CaLsdlJZgovrosecDL7fhcfO-yBh0YX5DQLwTX_Qv-vuDcPKQ_G9jCCrtNO2RbCsfkRPp5DsKeK7Xi0UhmBEVgJgoFcnLz3NIjx9zO9fu5wSsuYQWzFGRPC4kMuHrNDHkQ7VTcpPh6JCT_1U1mlOSMjjym_snBHJFqFKmV5rfw1ELvaBQwWwp-W_DU_qT6vMO5YHYTWMsMg6qzYbouq9uY2o55lCR4bR4BLzih9rJFNfKe2jwqETgwbybruXc04xSzgCPPPN0p6VveVEFFDRQwYpyn-_Sn5sLJLqY.VNxuu3GWG1f4ELyluhWNks0sOxignzRVLphlxugMwO0&amp;dib_tag=se&amp;keywords=conduit+hanger&amp;qid=1768612894&amp;s=hi&amp;sprefix=conduit+hange%2Ctools%2C200&amp;sr=1-5</t>
  </si>
  <si>
    <t>aluminum tape</t>
  </si>
  <si>
    <t>amazon.com/Aluminum-Insulation-Adhesive-Temperature-Ductwork/dp/B09BHWMSTD/ref=sr_1_4_pp?crid=1TA1YDWWNUU7K&amp;dib=eyJ2IjoiMSJ9.1ccqd7Mr85J3arB3aIyedla0kXdIa9BHC_E7c_toekBs0zVSUH0i4_LA8jhUkeU2OkK6fnCcX4t-W860e0YtUpsQ2fFYRy8qOrzR8idFnq7uJI3tFl5s7DsjFkf5oFT2nitQKvF_JWkPglb4-wtiy0FaK-TDVjOJ1cUIvIXns_kjN6ywvF0j9RBF_TIaGzrgNshvOSGpte59Rbnyabp4Aa9Cvzfd3S1yEZisUhzw3cL-HW17yZ6t6zg750m3wUNtIX96YLWf_4-VglicBZyzw0n9Vnc5fyJ2DmIUvhkl5sw.fl4NUMwo3oXRgQlkimliMmRQUKlS84Tp_FFzHYnN1uo&amp;dib_tag=se&amp;keywords=heat+resistant+tape&amp;qid=1768612974&amp;s=hi&amp;sprefix=heat+resistant+tape%2Ctools%2C170&amp;sr=1-4</t>
  </si>
  <si>
    <t>High Pressure Propane Effects</t>
  </si>
  <si>
    <t>Accumulator tank</t>
  </si>
  <si>
    <t>Ceramic stove igniter</t>
  </si>
  <si>
    <t>https://www.walmart.com/ip/5304509706-Gas-Oven-Range-Igniter-Replace-Compatible-with-Frigidaire-Kenmore-GE-Crosley-Tappan-Westinghouse-Gibson-HotPoint-Range-Oven-Stove/16622951081?wmlspartner=wlpa&amp;selectedSellerId=102768163&amp;gclsrc=aw.ds&amp;&amp;adid=2222222222716622951081_102768163_195742723371_23356490380&amp;wl0=&amp;wl1=g&amp;wl2=c&amp;wl3=787978475692&amp;wl4=aud-2402652640317:pla-2428191853657&amp;wl5=9193870&amp;wl6=&amp;wl7=&amp;wl8=&amp;wl9=pla&amp;wl10=5583097145&amp;wl11=online&amp;wl12=16622951081_102768163&amp;veh=sem&amp;gad_source=1&amp;gad_campaignid=23356490380&amp;gbraid=0AAAAADmfBIrF8Nqxq6Ezn-aRC29tlF34D&amp;gclid=CjwKCAiA4KfLBhB0EiwAUY7GAZud310QC_FhVW7E2EZ3TOF2mcgZFTkvB0bFdu1DqEqU8UNDRsYxChoCqywQAvD_BwE</t>
  </si>
  <si>
    <t>Solenoid gas valve</t>
  </si>
  <si>
    <t>https://www.amazon.com/4040-Solenoid-Valve-Aprilaire-Humidifier/dp/B0B9J5TM5K/ref=sr_1_1_sspa?crid=3E72S9AVYU2LL&amp;dib=eyJ2IjoiMSJ9.bf5Svefcriv8zgqwk6HU1RT9ifEYFIMUHAT17NszRbExApA_nfO4EaN-pDq_6SPATHNytRs0DV3jBaCEEC9auaUU-Lp_1IA5GRXtaIIL03rRSH9fB3Qchflx8mEX86elVMoprH8gOtyDgkSomIRJvGT5BQCe0zVEuwVCQ7UkUYqeFE-IkhnjakV-NOeA_g7TKIWwIZNE7t9xzS68dpLhKQvZ_L1t512hKR0iErFUOJg.zyk2jTDjJbSr2iNPrdWMr8KT1ZqGEaskpYN9qLziF1M&amp;dib_tag=se&amp;keywords=solenoid&amp;qid=1768610873&amp;sprefix=solenoi%2Caps%2C190&amp;sr=8-1-spons&amp;sp_csd=d2lkZ2V0TmFtZT1zcF9hdGY&amp;psc=1</t>
  </si>
  <si>
    <t xml:space="preserve">3/4" x 48" black iron pipe </t>
  </si>
  <si>
    <t>https://www.homedepot.com/p/PLUMBFLEX-3-4-in-x-48-in-Black-Steel-Pipe-3448PBL/307727946</t>
  </si>
  <si>
    <t>High pressure hose</t>
  </si>
  <si>
    <t>https://www.mcmaster.com/products/high-pressure-hose/high-pressure-air-hose-with-male-and-female-threaded-fittings/</t>
  </si>
  <si>
    <t>Brass fittings</t>
  </si>
  <si>
    <t>https://www.homedepot.com/s/brass%20fittings?NCNI-5</t>
  </si>
  <si>
    <t>Manifold</t>
  </si>
  <si>
    <t>Ball valve</t>
  </si>
  <si>
    <t>16g wire</t>
  </si>
  <si>
    <t>200ft</t>
  </si>
  <si>
    <t>https://www.amazon.com/CONEPY-Conductor-Electrical-Oxygen-Free-Automotive/dp/B0DJ4HB1Q5/ref=sr_1_1_sspa?crid=YCE5LIDIQZ1S&amp;dib=eyJ2IjoiMSJ9.j5DRsWMDLw90NkWg9tC6FOTLqWeirhvoBhu7GxxIEmJawKYAo5cpOm2kWln_LQzCBhqPiBM_B66mxINRkb3FX4QM8RPthogTEVwKV8MegE6FB85PYONIQHYruiu0j-bUG0Ow9G2sntjVjI17Z23DxwSSO2jni8-s-nDWtPdT7eJ3Np5p_YcBmgUs-pnQ3JhnN3vS0ltOTOfrnsO2T8x8W21Fe8OhiiCKOo271rKiuvKcEw3WF8jNNvzcPq6DvqB6uNR2vloPz61OMEJ_dpRdHznOeXdII8UmZYXYDjzDKJI.BJ2W0lznPEA08vFJu3T5vB7RjfBt-vHyvfgsycwn9Kk&amp;dib_tag=se&amp;keywords=16g%2Bwire&amp;qid=1768612611&amp;sprefix=16g%2Bwire%2Caps%2C169&amp;sr=8-1-spons&amp;sp_csd=d2lkZ2V0TmFtZT1zcF9hdGY&amp;th=1</t>
  </si>
  <si>
    <t>wago connectors</t>
  </si>
  <si>
    <t>https://www.amazon.com/Compact-Splicing-Connector-Assortment-221-2401/dp/B0BN6MBR7X/ref=sr_1_3_sspa?crid=57QPJIRUX7FD&amp;dib=eyJ2IjoiMSJ9.y5qrY8JmIg62x37ALapIoqwNljP4_tP5I-uBErfxEmnL0EaBuSkaYzVp5wadBQSEnpYyZykY2jzAgv7PWS_F8-EHSy9bB-QMYXSdJ_OvnXDuvRxSIF6tnZ02t6NHbELKoxEXgxMUbFCu3iyfE8DN2A9UACLQsKcHrSP8BmNg8bDVEc0E1XtkfW7s2o6_qJSLO4EuzRhnVgPtAl-nvXfU4K_b0VuxRaJy_zpeqnVQzomrIOZFv5FeqJgzfhHdgCI-bEDp94IhsTwxHLOK0WDsD52qoIXB3QknsBKc8BxQGoY.i1xPswmLRAO5Bf3YmUITOlL-vaOfXlb3HqGfb-BpAak&amp;dib_tag=se&amp;keywords=wago&amp;qid=1768612663&amp;sprefix=wago%2Caps%2C200&amp;sr=8-3-spons&amp;sp_csd=d2lkZ2V0TmFtZT1zcF9hdGY&amp;psc=1</t>
  </si>
  <si>
    <t>buttons</t>
  </si>
  <si>
    <t>https://www.amazon.com/Dreyoo-Doorbell-Button-Lighted-Replacement/dp/B0C3RB7C1Q/ref=sxin_17_pa_sp_search_thematic_sspa?content-id=amzn1.sym.c3b939a5-9435-4d84-8d9a-ce4d2fd1570a%3Aamzn1.sym.c3b939a5-9435-4d84-8d9a-ce4d2fd1570a&amp;crid=3KFXZ028M7H4V&amp;cv_ct_cx=doorbell%2Bbutton&amp;keywords=doorbell%2Bbutton&amp;pd_rd_i=B0C3RB7C1Q&amp;pd_rd_r=11c80f11-5ee2-477e-9399-a71e8b158800&amp;pd_rd_w=J7BCQ&amp;pd_rd_wg=tz43Z&amp;pf_rd_p=c3b939a5-9435-4d84-8d9a-ce4d2fd1570a&amp;pf_rd_r=V0SCKDYV656J8GP0XEPN&amp;qid=1768612749&amp;sbo=RZvfv%2F%2FHxDF%2BO5021pAnSA%3D%3D&amp;sprefix=doorbell%2Bbutton%2Caps%2C176&amp;sr=1-2-6e60e730-e094-43e9-99e8-1a4854cd27ff-spons&amp;aref=nKpvRRhfOv&amp;sp_csd=d2lkZ2V0TmFtZT1zcF9zZWFyY2hfdGhlbWF0aWM&amp;th=1</t>
  </si>
  <si>
    <t>zip ties</t>
  </si>
  <si>
    <t>https://www.homedepot.com/p/Commercial-Electric-8in-Standard-50lb-Tensile-Strength-UL-21S-Rated-Cable-Zip-Ties-100-Pack-UV-Black-GT-200STCB/203531910</t>
  </si>
  <si>
    <t>Total cost: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</si>
</sst>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5" xfId="0" applyFont="1" applyNumberFormat="1"/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wes.com/pd/Mr-Heater-Propane-Low-Pressure-Regulator/1097963?user=shopping&amp;feed=yes&amp;srsltid=AfmBOor0mXckvWD_4WGiwqoaurRNNr7wQQdBDfMb2-vkmOFROFzs_UXfxXg" TargetMode="External"/><Relationship Id="rId22" Type="http://schemas.openxmlformats.org/officeDocument/2006/relationships/hyperlink" Target="https://www.amazon.com/Compact-Splicing-Connector-Assortment-221-2401/dp/B0BN6MBR7X/ref=sr_1_3_sspa?crid=57QPJIRUX7FD&amp;dib=eyJ2IjoiMSJ9.y5qrY8JmIg62x37ALapIoqwNljP4_tP5I-uBErfxEmnL0EaBuSkaYzVp5wadBQSEnpYyZykY2jzAgv7PWS_F8-EHSy9bB-QMYXSdJ_OvnXDuvRxSIF6tnZ02t6NHbELKoxEXgxMUbFCu3iyfE8DN2A9UACLQsKcHrSP8BmNg8bDVEc0E1XtkfW7s2o6_qJSLO4EuzRhnVgPtAl-nvXfU4K_b0VuxRaJy_zpeqnVQzomrIOZFv5FeqJgzfhHdgCI-bEDp94IhsTwxHLOK0WDsD52qoIXB3QknsBKc8BxQGoY.i1xPswmLRAO5Bf3YmUITOlL-vaOfXlb3HqGfb-BpAak&amp;dib_tag=se&amp;keywords=wago&amp;qid=1768612663&amp;sprefix=wago%2Caps%2C200&amp;sr=8-3-spons&amp;sp_csd=d2lkZ2V0TmFtZT1zcF9hdGY&amp;psc=1" TargetMode="External"/><Relationship Id="rId21" Type="http://schemas.openxmlformats.org/officeDocument/2006/relationships/hyperlink" Target="https://www.amazon.com/CONEPY-Conductor-Electrical-Oxygen-Free-Automotive/dp/B0DJ4HB1Q5/ref=sr_1_1_sspa?crid=YCE5LIDIQZ1S&amp;dib=eyJ2IjoiMSJ9.j5DRsWMDLw90NkWg9tC6FOTLqWeirhvoBhu7GxxIEmJawKYAo5cpOm2kWln_LQzCBhqPiBM_B66mxINRkb3FX4QM8RPthogTEVwKV8MegE6FB85PYONIQHYruiu0j-bUG0Ow9G2sntjVjI17Z23DxwSSO2jni8-s-nDWtPdT7eJ3Np5p_YcBmgUs-pnQ3JhnN3vS0ltOTOfrnsO2T8x8W21Fe8OhiiCKOo271rKiuvKcEw3WF8jNNvzcPq6DvqB6uNR2vloPz61OMEJ_dpRdHznOeXdII8UmZYXYDjzDKJI.BJ2W0lznPEA08vFJu3T5vB7RjfBt-vHyvfgsycwn9Kk&amp;dib_tag=se&amp;keywords=16g%2Bwire&amp;qid=1768612611&amp;sprefix=16g%2Bwire%2Caps%2C169&amp;sr=8-1-spons&amp;sp_csd=d2lkZ2V0TmFtZT1zcF9hdGY&amp;th=1" TargetMode="External"/><Relationship Id="rId24" Type="http://schemas.openxmlformats.org/officeDocument/2006/relationships/hyperlink" Target="https://www.homedepot.com/p/Commercial-Electric-8in-Standard-50lb-Tensile-Strength-UL-21S-Rated-Cable-Zip-Ties-100-Pack-UV-Black-GT-200STCB/203531910" TargetMode="External"/><Relationship Id="rId23" Type="http://schemas.openxmlformats.org/officeDocument/2006/relationships/hyperlink" Target="https://www.amazon.com/Dreyoo-Doorbell-Button-Lighted-Replacement/dp/B0C3RB7C1Q/ref=sxin_17_pa_sp_search_thematic_sspa?content-id=amzn1.sym.c3b939a5-9435-4d84-8d9a-ce4d2fd1570a%3Aamzn1.sym.c3b939a5-9435-4d84-8d9a-ce4d2fd1570a&amp;crid=3KFXZ028M7H4V&amp;cv_ct_cx=doorbell%2Bbutton&amp;keywords=doorbell%2Bbutton&amp;pd_rd_i=B0C3RB7C1Q&amp;pd_rd_r=11c80f11-5ee2-477e-9399-a71e8b158800&amp;pd_rd_w=J7BCQ&amp;pd_rd_wg=tz43Z&amp;pf_rd_p=c3b939a5-9435-4d84-8d9a-ce4d2fd1570a&amp;pf_rd_r=V0SCKDYV656J8GP0XEPN&amp;qid=1768612749&amp;sbo=RZvfv%2F%2FHxDF%2BO5021pAnSA%3D%3D&amp;sprefix=doorbell%2Bbutton%2Caps%2C176&amp;sr=1-2-6e60e730-e094-43e9-99e8-1a4854cd27ff-spons&amp;aref=nKpvRRhfOv&amp;sp_csd=d2lkZ2V0TmFtZT1zcF9zZWFyY2hfdGhlbWF0aWM&amp;th=1" TargetMode="External"/><Relationship Id="rId1" Type="http://schemas.openxmlformats.org/officeDocument/2006/relationships/hyperlink" Target="https://www.homedepot.com/p/1-1-4-in-x-10-ft-EMT-Conduit-101576/100400410" TargetMode="External"/><Relationship Id="rId2" Type="http://schemas.openxmlformats.org/officeDocument/2006/relationships/hyperlink" Target="https://www.amazon.com/Lanterns-Outdoor-Hanging-Decorative-Decorations/dp/B093KG6WXD/ref=sr_1_28?crid=2TTNJS7BHM2Z7&amp;dib=eyJ2IjoiMSJ9.NQwOkMOl7i3ejV9kLvryQDWnNDOqEClNGh1GLs8DlpSVDBdioYlPVR3nQfEDRSq5M41EOMCcBL-8lBdPx_fFLkk5ZgEpsQDRzRIY38n5dUvJbGAM5l4SZkpmHekh-bWqTCgLy7agytGTDVLLMXzNNC5qWU2-R6jaqBPtLbd3X3WCNVFPipFOH8mxrHE0TK44hc6sTzUTyYJiynygaJAhZ3v6J4r2AOFJJPeiQW8jGoU8mEqSSlVtgNl-MVSCdw4N.9nWmC1QT1fW_8sSg9lYADBY5_uFoLjH64UCr83HulJU&amp;dib_tag=se&amp;keywords=solar%2Blantern&amp;qid=1768613324&amp;s=hi&amp;sprefix=solar%2Blantern%2Ctools%2C162&amp;sr=1-28&amp;xpid=jgN0oPv86GCTc&amp;th=1" TargetMode="External"/><Relationship Id="rId3" Type="http://schemas.openxmlformats.org/officeDocument/2006/relationships/hyperlink" Target="https://www.amazon.com/Artibear-Shepherd-Outdoor-Hangers-Lanterns/dp/B0CS5TD2Z3/ref=sr_1_9?crid=2G3L26MYLFHYK&amp;dib=eyJ2IjoiMSJ9.JrkLm8ReY7W0ilElfgmciv2NNm399GcoU7DKbHbXrqVCcqBT6XwybQnnryrYpXsB9ogNYVP0k0bEEsMtgzuj5OPFQDQlhT_Ltou7VfE5pxjcUa5W3E-RtktaJac3rXzhlQZj2zUNXoQxj47C7k3_09TmCLt5CIxPXARPhjAEquSTpiy3ec4eu8veV7psX2-aW2yFmycKM7mnJFcwdRztj2mumyHOGGDtE8YWwfmw8rivXXwmk5grpxwdnV0BuRO-zeO735BAvFdJrDU-1-vEklDbqDAZqOtxJ_SYs2zro8Y.aezw9GCNM75gpHY266Hq-Xao1N3Z4EbqT2pbjdGt23Y&amp;dib_tag=se&amp;keywords=shepherd%2Bhook&amp;qid=1768613405&amp;s=hi&amp;sprefix=shepherd%2Bhook%2Ctools%2C151&amp;sr=1-9&amp;th=1" TargetMode="External"/><Relationship Id="rId4" Type="http://schemas.openxmlformats.org/officeDocument/2006/relationships/hyperlink" Target="https://www.homedepot.com/p/Everbilt-3-8-in-x-20-ft-Soft-Copper-Refrigeration-Coil-Tubing-D-06020PS/202287075?source=shoppingads&amp;locale=en-US" TargetMode="External"/><Relationship Id="rId9" Type="http://schemas.openxmlformats.org/officeDocument/2006/relationships/hyperlink" Target="https://www.lowes.com/pd/Mr-Heater-Propane-Low-Pressure-Regulator/1097963?user=shopping&amp;feed=yes&amp;srsltid=AfmBOor0mXckvWD_4WGiwqoaurRNNr7wQQdBDfMb2-vkmOFROFzs_UXfxX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mcmaster.com/products/manifolds/thread-type~npt/manifolds-2~/straight-flow-rectangular-manifolds/" TargetMode="External"/><Relationship Id="rId6" Type="http://schemas.openxmlformats.org/officeDocument/2006/relationships/hyperlink" Target="https://www.lowes.com/search?searchTerm=copper+flare+fittings" TargetMode="External"/><Relationship Id="rId7" Type="http://schemas.openxmlformats.org/officeDocument/2006/relationships/hyperlink" Target="https://www.mcmaster.com/products/steel-wool/" TargetMode="External"/><Relationship Id="rId8" Type="http://schemas.openxmlformats.org/officeDocument/2006/relationships/hyperlink" Target="https://www.etrailer.com/Propane-Fittings/MB-Sturgis/MBS37FR.html?feed=npn&amp;gad_source=1&amp;gad_campaignid=22466978330&amp;gbraid=0AAAAAD_vMtngKP2luZWqXtXCg2dQg8YR4&amp;gclid=Cj0KCQjwuKnGBhD5ARIsAD19RsbZvaRnr4Pog58ZizeiMNhpP1ZfrrUUeiVxfIZ72skOgOM-1VMzgX4aAotnEALw_wcB" TargetMode="External"/><Relationship Id="rId11" Type="http://schemas.openxmlformats.org/officeDocument/2006/relationships/hyperlink" Target="https://www.amazon.com/QWORK-Conduit-Hanger-Features-Zinc-Plated/dp/B0D9GKSKYV/ref=sr_1_5?crid=2U6MBJVOZB9XL&amp;dib=eyJ2IjoiMSJ9.LOAnI2CaLsdlJZgovrosecDL7fhcfO-yBh0YX5DQLwTX_Qv-vuDcPKQ_G9jCCrtNO2RbCsfkRPp5DsKeK7Xi0UhmBEVgJgoFcnLz3NIjx9zO9fu5wSsuYQWzFGRPC4kMuHrNDHkQ7VTcpPh6JCT_1U1mlOSMjjym_snBHJFqFKmV5rfw1ELvaBQwWwp-W_DU_qT6vMO5YHYTWMsMg6qzYbouq9uY2o55lCR4bR4BLzih9rJFNfKe2jwqETgwbybruXc04xSzgCPPPN0p6VveVEFFDRQwYpyn-_Sn5sLJLqY.VNxuu3GWG1f4ELyluhWNks0sOxignzRVLphlxugMwO0&amp;dib_tag=se&amp;keywords=conduit+hanger&amp;qid=1768612894&amp;s=hi&amp;sprefix=conduit+hange%2Ctools%2C200&amp;sr=1-5" TargetMode="External"/><Relationship Id="rId10" Type="http://schemas.openxmlformats.org/officeDocument/2006/relationships/hyperlink" Target="https://www.lowes.com/pd/RELIABILT-3-4-in-FNPT-Brass-Ball-Valve/5015185049" TargetMode="External"/><Relationship Id="rId13" Type="http://schemas.openxmlformats.org/officeDocument/2006/relationships/hyperlink" Target="https://www.walmart.com/ip/5304509706-Gas-Oven-Range-Igniter-Replace-Compatible-with-Frigidaire-Kenmore-GE-Crosley-Tappan-Westinghouse-Gibson-HotPoint-Range-Oven-Stove/16622951081?wmlspartner=wlpa&amp;selectedSellerId=102768163&amp;gclsrc=aw.ds&amp;&amp;adid=2222222222716622951081_102768163_195742723371_23356490380&amp;wl0=&amp;wl1=g&amp;wl2=c&amp;wl3=787978475692&amp;wl4=aud-2402652640317:pla-2428191853657&amp;wl5=9193870&amp;wl6=&amp;wl7=&amp;wl8=&amp;wl9=pla&amp;wl10=5583097145&amp;wl11=online&amp;wl12=16622951081_102768163&amp;veh=sem&amp;gad_source=1&amp;gad_campaignid=23356490380&amp;gbraid=0AAAAADmfBIrF8Nqxq6Ezn-aRC29tlF34D&amp;gclid=CjwKCAiA4KfLBhB0EiwAUY7GAZud310QC_FhVW7E2EZ3TOF2mcgZFTkvB0bFdu1DqEqU8UNDRsYxChoCqywQAvD_BwE" TargetMode="External"/><Relationship Id="rId12" Type="http://schemas.openxmlformats.org/officeDocument/2006/relationships/hyperlink" Target="http://amazon.com/Aluminum-Insulation-Adhesive-Temperature-Ductwork/dp/B09BHWMSTD/ref=sr_1_4_pp?crid=1TA1YDWWNUU7K&amp;dib=eyJ2IjoiMSJ9.1ccqd7Mr85J3arB3aIyedla0kXdIa9BHC_E7c_toekBs0zVSUH0i4_LA8jhUkeU2OkK6fnCcX4t-W860e0YtUpsQ2fFYRy8qOrzR8idFnq7uJI3tFl5s7DsjFkf5oFT2nitQKvF_JWkPglb4-wtiy0FaK-TDVjOJ1cUIvIXns_kjN6ywvF0j9RBF_TIaGzrgNshvOSGpte59Rbnyabp4Aa9Cvzfd3S1yEZisUhzw3cL-HW17yZ6t6zg750m3wUNtIX96YLWf_4-VglicBZyzw0n9Vnc5fyJ2DmIUvhkl5sw.fl4NUMwo3oXRgQlkimliMmRQUKlS84Tp_FFzHYnN1uo&amp;dib_tag=se&amp;keywords=heat+resistant+tape&amp;qid=1768612974&amp;s=hi&amp;sprefix=heat+resistant+tape%2Ctools%2C170&amp;sr=1-4" TargetMode="External"/><Relationship Id="rId15" Type="http://schemas.openxmlformats.org/officeDocument/2006/relationships/hyperlink" Target="https://www.homedepot.com/p/PLUMBFLEX-3-4-in-x-48-in-Black-Steel-Pipe-3448PBL/307727946" TargetMode="External"/><Relationship Id="rId14" Type="http://schemas.openxmlformats.org/officeDocument/2006/relationships/hyperlink" Target="https://www.amazon.com/4040-Solenoid-Valve-Aprilaire-Humidifier/dp/B0B9J5TM5K/ref=sr_1_1_sspa?crid=3E72S9AVYU2LL&amp;dib=eyJ2IjoiMSJ9.bf5Svefcriv8zgqwk6HU1RT9ifEYFIMUHAT17NszRbExApA_nfO4EaN-pDq_6SPATHNytRs0DV3jBaCEEC9auaUU-Lp_1IA5GRXtaIIL03rRSH9fB3Qchflx8mEX86elVMoprH8gOtyDgkSomIRJvGT5BQCe0zVEuwVCQ7UkUYqeFE-IkhnjakV-NOeA_g7TKIWwIZNE7t9xzS68dpLhKQvZ_L1t512hKR0iErFUOJg.zyk2jTDjJbSr2iNPrdWMr8KT1ZqGEaskpYN9qLziF1M&amp;dib_tag=se&amp;keywords=solenoid&amp;qid=1768610873&amp;sprefix=solenoi%2Caps%2C190&amp;sr=8-1-spons&amp;sp_csd=d2lkZ2V0TmFtZT1zcF9hdGY&amp;psc=1" TargetMode="External"/><Relationship Id="rId17" Type="http://schemas.openxmlformats.org/officeDocument/2006/relationships/hyperlink" Target="https://www.homedepot.com/s/brass%20fittings?NCNI-5" TargetMode="External"/><Relationship Id="rId16" Type="http://schemas.openxmlformats.org/officeDocument/2006/relationships/hyperlink" Target="https://www.mcmaster.com/products/high-pressure-hose/high-pressure-air-hose-with-male-and-female-threaded-fittings/" TargetMode="External"/><Relationship Id="rId19" Type="http://schemas.openxmlformats.org/officeDocument/2006/relationships/hyperlink" Target="https://www.lowes.com/pd/RELIABILT-3-4-in-FNPT-Brass-Ball-Valve/5015185049" TargetMode="External"/><Relationship Id="rId18" Type="http://schemas.openxmlformats.org/officeDocument/2006/relationships/hyperlink" Target="https://www.mcmaster.com/products/manifolds/thread-type~npt/manifolds-2~/straight-flow-rectangular-manifol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3">
      <c r="A3" s="2" t="s">
        <v>4</v>
      </c>
    </row>
    <row r="4">
      <c r="A4" s="1" t="s">
        <v>5</v>
      </c>
      <c r="C4" s="3">
        <v>0.0</v>
      </c>
      <c r="D4" s="1" t="s">
        <v>6</v>
      </c>
    </row>
    <row r="5">
      <c r="A5" s="1" t="s">
        <v>7</v>
      </c>
      <c r="C5" s="3">
        <v>50.0</v>
      </c>
      <c r="D5" s="1" t="s">
        <v>8</v>
      </c>
    </row>
    <row r="6">
      <c r="A6" s="1" t="s">
        <v>9</v>
      </c>
      <c r="C6" s="3">
        <v>50.0</v>
      </c>
      <c r="D6" s="1" t="s">
        <v>10</v>
      </c>
    </row>
    <row r="8">
      <c r="A8" s="2" t="s">
        <v>11</v>
      </c>
    </row>
    <row r="9">
      <c r="A9" s="1" t="s">
        <v>12</v>
      </c>
      <c r="C9" s="3">
        <v>100.0</v>
      </c>
      <c r="D9" s="1" t="s">
        <v>10</v>
      </c>
    </row>
    <row r="10">
      <c r="A10" s="1" t="s">
        <v>13</v>
      </c>
      <c r="B10" s="1">
        <v>8.0</v>
      </c>
      <c r="C10" s="4">
        <f>27.27*8</f>
        <v>218.16</v>
      </c>
      <c r="D10" s="5" t="s">
        <v>14</v>
      </c>
    </row>
    <row r="11">
      <c r="A11" s="1" t="s">
        <v>15</v>
      </c>
      <c r="C11" s="3">
        <v>20.0</v>
      </c>
      <c r="D11" s="1" t="s">
        <v>16</v>
      </c>
    </row>
    <row r="12">
      <c r="A12" s="1" t="s">
        <v>17</v>
      </c>
      <c r="C12" s="3">
        <v>0.0</v>
      </c>
      <c r="D12" s="1" t="s">
        <v>18</v>
      </c>
    </row>
    <row r="13">
      <c r="A13" s="1" t="s">
        <v>19</v>
      </c>
      <c r="B13" s="1">
        <v>8.0</v>
      </c>
      <c r="C13" s="6">
        <f>29.99*4</f>
        <v>119.96</v>
      </c>
      <c r="D13" s="5" t="s">
        <v>20</v>
      </c>
    </row>
    <row r="14">
      <c r="A14" s="1" t="s">
        <v>21</v>
      </c>
      <c r="B14" s="1">
        <v>8.0</v>
      </c>
      <c r="C14" s="6">
        <f>25.99*4</f>
        <v>103.96</v>
      </c>
      <c r="D14" s="5" t="s">
        <v>22</v>
      </c>
    </row>
    <row r="15">
      <c r="A15" s="1" t="s">
        <v>23</v>
      </c>
      <c r="C15" s="3">
        <v>0.0</v>
      </c>
      <c r="D15" s="1" t="s">
        <v>6</v>
      </c>
    </row>
    <row r="17">
      <c r="A17" s="2" t="s">
        <v>24</v>
      </c>
    </row>
    <row r="18">
      <c r="A18" s="1" t="s">
        <v>25</v>
      </c>
      <c r="B18" s="1" t="s">
        <v>26</v>
      </c>
      <c r="C18" s="3">
        <v>230.0</v>
      </c>
      <c r="D18" s="7" t="s">
        <v>27</v>
      </c>
    </row>
    <row r="19">
      <c r="A19" s="1" t="s">
        <v>28</v>
      </c>
      <c r="B19" s="1" t="s">
        <v>29</v>
      </c>
      <c r="C19" s="8">
        <v>48.8</v>
      </c>
      <c r="D19" s="5" t="s">
        <v>30</v>
      </c>
    </row>
    <row r="20">
      <c r="A20" s="1" t="s">
        <v>31</v>
      </c>
      <c r="C20" s="3">
        <v>75.0</v>
      </c>
      <c r="D20" s="5" t="s">
        <v>32</v>
      </c>
    </row>
    <row r="21">
      <c r="A21" s="1" t="s">
        <v>33</v>
      </c>
      <c r="B21" s="1" t="s">
        <v>34</v>
      </c>
      <c r="C21" s="8">
        <v>126.54</v>
      </c>
      <c r="D21" s="5" t="s">
        <v>35</v>
      </c>
    </row>
    <row r="22">
      <c r="A22" s="1" t="s">
        <v>36</v>
      </c>
      <c r="B22" s="1" t="s">
        <v>37</v>
      </c>
      <c r="C22" s="8">
        <f>51.11*6</f>
        <v>306.66</v>
      </c>
      <c r="D22" s="7" t="s">
        <v>38</v>
      </c>
    </row>
    <row r="23">
      <c r="A23" s="1" t="s">
        <v>39</v>
      </c>
      <c r="C23" s="8">
        <v>11.92</v>
      </c>
      <c r="D23" s="5" t="s">
        <v>40</v>
      </c>
    </row>
    <row r="24">
      <c r="A24" s="1" t="s">
        <v>41</v>
      </c>
      <c r="C24" s="8">
        <v>16.98</v>
      </c>
      <c r="D24" s="7" t="s">
        <v>42</v>
      </c>
    </row>
    <row r="25">
      <c r="A25" s="1" t="s">
        <v>43</v>
      </c>
      <c r="C25" s="8">
        <v>20.97</v>
      </c>
      <c r="D25" s="5" t="s">
        <v>44</v>
      </c>
    </row>
    <row r="26">
      <c r="A26" s="1" t="s">
        <v>45</v>
      </c>
      <c r="C26" s="8">
        <v>6.99</v>
      </c>
      <c r="D26" s="5" t="s">
        <v>46</v>
      </c>
    </row>
    <row r="28">
      <c r="B28" s="9" t="s">
        <v>47</v>
      </c>
    </row>
    <row r="29">
      <c r="A29" s="1" t="s">
        <v>48</v>
      </c>
    </row>
    <row r="30">
      <c r="A30" s="1" t="s">
        <v>49</v>
      </c>
      <c r="B30" s="1">
        <v>5.0</v>
      </c>
      <c r="C30" s="6">
        <f>17.69*5</f>
        <v>88.45</v>
      </c>
      <c r="D30" s="5" t="s">
        <v>50</v>
      </c>
    </row>
    <row r="31">
      <c r="A31" s="1" t="s">
        <v>51</v>
      </c>
      <c r="B31" s="1">
        <v>5.0</v>
      </c>
      <c r="C31" s="6">
        <f>25.99*5</f>
        <v>129.95</v>
      </c>
      <c r="D31" s="5" t="s">
        <v>52</v>
      </c>
    </row>
    <row r="32">
      <c r="A32" s="1" t="s">
        <v>53</v>
      </c>
      <c r="B32" s="1">
        <v>5.0</v>
      </c>
      <c r="C32" s="6">
        <f>17.03*5</f>
        <v>85.15</v>
      </c>
      <c r="D32" s="5" t="s">
        <v>54</v>
      </c>
    </row>
    <row r="33">
      <c r="A33" s="1" t="s">
        <v>55</v>
      </c>
      <c r="B33" s="1" t="s">
        <v>37</v>
      </c>
      <c r="C33" s="6">
        <f>205.01*6</f>
        <v>1230.06</v>
      </c>
      <c r="D33" s="5" t="s">
        <v>56</v>
      </c>
    </row>
    <row r="34">
      <c r="A34" s="1" t="s">
        <v>57</v>
      </c>
      <c r="C34" s="3">
        <v>75.0</v>
      </c>
      <c r="D34" s="5" t="s">
        <v>58</v>
      </c>
    </row>
    <row r="35">
      <c r="A35" s="1" t="s">
        <v>59</v>
      </c>
      <c r="C35" s="8">
        <v>157.17</v>
      </c>
      <c r="D35" s="5" t="s">
        <v>30</v>
      </c>
    </row>
    <row r="36">
      <c r="A36" s="1" t="s">
        <v>60</v>
      </c>
      <c r="B36" s="1">
        <v>3.0</v>
      </c>
      <c r="C36" s="8">
        <f>16.98*3</f>
        <v>50.94</v>
      </c>
      <c r="D36" s="5" t="s">
        <v>42</v>
      </c>
    </row>
    <row r="37">
      <c r="A37" s="1" t="s">
        <v>39</v>
      </c>
      <c r="C37" s="8">
        <v>11.92</v>
      </c>
      <c r="D37" s="5" t="s">
        <v>40</v>
      </c>
    </row>
    <row r="38">
      <c r="A38" s="1" t="s">
        <v>61</v>
      </c>
      <c r="B38" s="1" t="s">
        <v>62</v>
      </c>
      <c r="C38" s="8">
        <v>79.99</v>
      </c>
      <c r="D38" s="5" t="s">
        <v>63</v>
      </c>
    </row>
    <row r="39">
      <c r="A39" s="1" t="s">
        <v>64</v>
      </c>
      <c r="C39" s="8">
        <v>44.95</v>
      </c>
      <c r="D39" s="5" t="s">
        <v>65</v>
      </c>
    </row>
    <row r="40">
      <c r="A40" s="1" t="s">
        <v>66</v>
      </c>
      <c r="C40" s="6">
        <f>14.99*5</f>
        <v>74.95</v>
      </c>
      <c r="D40" s="5" t="s">
        <v>67</v>
      </c>
    </row>
    <row r="41">
      <c r="A41" s="1" t="s">
        <v>68</v>
      </c>
      <c r="C41" s="8">
        <v>11.99</v>
      </c>
      <c r="D41" s="5" t="s">
        <v>69</v>
      </c>
    </row>
    <row r="43">
      <c r="B43" s="1" t="s">
        <v>70</v>
      </c>
      <c r="C43" s="10">
        <f>SUM(C4:C41)</f>
        <v>3546.46</v>
      </c>
    </row>
  </sheetData>
  <mergeCells count="3">
    <mergeCell ref="A3:D3"/>
    <mergeCell ref="A8:D8"/>
    <mergeCell ref="A17:D17"/>
  </mergeCells>
  <hyperlinks>
    <hyperlink r:id="rId1" ref="D10"/>
    <hyperlink r:id="rId2" ref="D13"/>
    <hyperlink r:id="rId3" ref="D14"/>
    <hyperlink r:id="rId4" ref="D18"/>
    <hyperlink r:id="rId5" ref="D19"/>
    <hyperlink r:id="rId6" ref="D20"/>
    <hyperlink r:id="rId7" ref="D21"/>
    <hyperlink r:id="rId8" ref="D22"/>
    <hyperlink r:id="rId9" ref="D23"/>
    <hyperlink r:id="rId10" ref="D24"/>
    <hyperlink r:id="rId11" ref="D25"/>
    <hyperlink r:id="rId12" ref="D26"/>
    <hyperlink r:id="rId13" ref="D30"/>
    <hyperlink r:id="rId14" ref="D31"/>
    <hyperlink r:id="rId15" ref="D32"/>
    <hyperlink r:id="rId16" ref="D33"/>
    <hyperlink r:id="rId17" ref="D34"/>
    <hyperlink r:id="rId18" ref="D35"/>
    <hyperlink r:id="rId19" ref="D36"/>
    <hyperlink r:id="rId20" ref="D37"/>
    <hyperlink r:id="rId21" ref="D38"/>
    <hyperlink r:id="rId22" ref="D39"/>
    <hyperlink r:id="rId23" ref="D40"/>
    <hyperlink r:id="rId24" ref="D41"/>
  </hyperlinks>
  <drawing r:id="rId25"/>
</worksheet>
</file>
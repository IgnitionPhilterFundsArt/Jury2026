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<sst xmlns="http://schemas.openxmlformats.org/spreadsheetml/2006/main" count="30" uniqueCount="21">
  <si>
    <t>Expense details</t>
  </si>
  <si>
    <t>Category</t>
  </si>
  <si>
    <t># Units Needed</t>
  </si>
  <si>
    <t>Cost/Unit</t>
  </si>
  <si>
    <t>Budget</t>
  </si>
  <si>
    <t>2 x 4 x 10 Treated Lumber</t>
  </si>
  <si>
    <t>Wood</t>
  </si>
  <si>
    <t>2 x 4 x 8 Treated Lumber</t>
  </si>
  <si>
    <t>4ft x 8ft  Treated Plywood Sheets</t>
  </si>
  <si>
    <t>Wood Screws - Box</t>
  </si>
  <si>
    <t>Hardware</t>
  </si>
  <si>
    <t>Velvet Curtain</t>
  </si>
  <si>
    <t>Decoration</t>
  </si>
  <si>
    <t>Hinges</t>
  </si>
  <si>
    <t>Exterior Paint - Half Pints</t>
  </si>
  <si>
    <t>Tent Stakes</t>
  </si>
  <si>
    <t>Foot Post Anchor (Brackets)</t>
  </si>
  <si>
    <t>Polaroids</t>
  </si>
  <si>
    <t>Cork Board</t>
  </si>
  <si>
    <t xml:space="preserve">Solar Powered String Lights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</si>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</sst>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E14" displayName="Boobth_Budget" name="Boobth_Budget" id="1">
  <tableColumns count="5">
    <tableColumn totalsRowLabel="TOTAL" name="Expense details" id="1"/>
    <tableColumn name="Category" id="2"/>
    <tableColumn name="# Units Needed" id="3"/>
    <tableColumn name="Cost/Unit" id="4"/>
    <tableColumn totalsRowFunction="custom" name="Budge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0.13"/>
    <col customWidth="1" min="3" max="3" width="17.5"/>
    <col customWidth="1" min="4" max="4" width="15.13"/>
    <col customWidth="1" min="5" max="5" width="22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22.5" customHeight="1">
      <c r="A2" s="3" t="s">
        <v>5</v>
      </c>
      <c r="B2" s="4" t="s">
        <v>6</v>
      </c>
      <c r="C2" s="5">
        <v>4.0</v>
      </c>
      <c r="D2" s="6">
        <v>7.68</v>
      </c>
      <c r="E2" s="7">
        <f t="shared" ref="E2:E13" si="1">C2*D2</f>
        <v>30.72</v>
      </c>
    </row>
    <row r="3" ht="22.5" customHeight="1">
      <c r="A3" s="3" t="s">
        <v>7</v>
      </c>
      <c r="B3" s="4" t="s">
        <v>6</v>
      </c>
      <c r="C3" s="5">
        <v>4.0</v>
      </c>
      <c r="D3" s="6">
        <v>3.68</v>
      </c>
      <c r="E3" s="7">
        <f t="shared" si="1"/>
        <v>14.72</v>
      </c>
    </row>
    <row r="4" ht="22.5" customHeight="1">
      <c r="A4" s="3" t="s">
        <v>8</v>
      </c>
      <c r="B4" s="4" t="s">
        <v>6</v>
      </c>
      <c r="C4" s="5">
        <v>3.0</v>
      </c>
      <c r="D4" s="6">
        <v>22.0</v>
      </c>
      <c r="E4" s="7">
        <f t="shared" si="1"/>
        <v>66</v>
      </c>
    </row>
    <row r="5" ht="22.5" customHeight="1">
      <c r="A5" s="3" t="s">
        <v>9</v>
      </c>
      <c r="B5" s="4" t="s">
        <v>10</v>
      </c>
      <c r="C5" s="5">
        <v>2.0</v>
      </c>
      <c r="D5" s="6">
        <v>12.0</v>
      </c>
      <c r="E5" s="7">
        <f t="shared" si="1"/>
        <v>24</v>
      </c>
    </row>
    <row r="6" ht="22.5" customHeight="1">
      <c r="A6" s="3" t="s">
        <v>11</v>
      </c>
      <c r="B6" s="4" t="s">
        <v>12</v>
      </c>
      <c r="C6" s="5">
        <v>1.0</v>
      </c>
      <c r="D6" s="6">
        <v>30.0</v>
      </c>
      <c r="E6" s="7">
        <f t="shared" si="1"/>
        <v>30</v>
      </c>
    </row>
    <row r="7" ht="22.5" customHeight="1">
      <c r="A7" s="3" t="s">
        <v>13</v>
      </c>
      <c r="B7" s="4" t="s">
        <v>10</v>
      </c>
      <c r="C7" s="5">
        <v>4.0</v>
      </c>
      <c r="D7" s="6">
        <v>5.0</v>
      </c>
      <c r="E7" s="7">
        <f t="shared" si="1"/>
        <v>20</v>
      </c>
    </row>
    <row r="8" ht="22.5" customHeight="1">
      <c r="A8" s="3" t="s">
        <v>14</v>
      </c>
      <c r="B8" s="4" t="s">
        <v>12</v>
      </c>
      <c r="C8" s="5">
        <v>8.0</v>
      </c>
      <c r="D8" s="6">
        <v>6.0</v>
      </c>
      <c r="E8" s="7">
        <f t="shared" si="1"/>
        <v>48</v>
      </c>
    </row>
    <row r="9" ht="22.5" customHeight="1">
      <c r="A9" s="3" t="s">
        <v>15</v>
      </c>
      <c r="B9" s="4" t="s">
        <v>10</v>
      </c>
      <c r="C9" s="5">
        <v>4.0</v>
      </c>
      <c r="D9" s="6">
        <v>2.0</v>
      </c>
      <c r="E9" s="7">
        <f t="shared" si="1"/>
        <v>8</v>
      </c>
    </row>
    <row r="10" ht="22.5" customHeight="1">
      <c r="A10" s="3" t="s">
        <v>16</v>
      </c>
      <c r="B10" s="4" t="s">
        <v>10</v>
      </c>
      <c r="C10" s="5">
        <v>4.0</v>
      </c>
      <c r="D10" s="6">
        <v>2.0</v>
      </c>
      <c r="E10" s="7">
        <f t="shared" si="1"/>
        <v>8</v>
      </c>
    </row>
    <row r="11" ht="22.5" customHeight="1">
      <c r="A11" s="3" t="s">
        <v>17</v>
      </c>
      <c r="B11" s="4" t="s">
        <v>12</v>
      </c>
      <c r="C11" s="5">
        <v>100.0</v>
      </c>
      <c r="D11" s="6">
        <v>0.83</v>
      </c>
      <c r="E11" s="7">
        <f t="shared" si="1"/>
        <v>83</v>
      </c>
    </row>
    <row r="12" ht="22.5" customHeight="1">
      <c r="A12" s="3" t="s">
        <v>18</v>
      </c>
      <c r="B12" s="4" t="s">
        <v>12</v>
      </c>
      <c r="C12" s="5">
        <v>1.0</v>
      </c>
      <c r="D12" s="6">
        <v>50.0</v>
      </c>
      <c r="E12" s="7">
        <f t="shared" si="1"/>
        <v>50</v>
      </c>
    </row>
    <row r="13" ht="22.5" customHeight="1">
      <c r="A13" s="3" t="s">
        <v>19</v>
      </c>
      <c r="B13" s="4" t="s">
        <v>12</v>
      </c>
      <c r="C13" s="5">
        <v>1.0</v>
      </c>
      <c r="D13" s="6">
        <v>23.0</v>
      </c>
      <c r="E13" s="7">
        <f t="shared" si="1"/>
        <v>23</v>
      </c>
    </row>
    <row r="14" ht="22.5" customHeight="1">
      <c r="A14" s="5" t="s">
        <v>20</v>
      </c>
      <c r="B14" s="8"/>
      <c r="D14" s="9"/>
      <c r="E14" s="10">
        <f>SUM(Boobth_Budget[Budget])</f>
        <v>405.44</v>
      </c>
    </row>
  </sheetData>
  <dataValidations>
    <dataValidation type="list" allowBlank="1" sqref="B2:B13">
      <formula1>"Wood,Hardware,Decoration"</formula1>
    </dataValidation>
    <dataValidation type="custom" allowBlank="1" showDropDown="1" sqref="D2:E13">
      <formula1>AND(ISNUMBER(D2),(NOT(OR(NOT(ISERROR(DATEVALUE(D2))), AND(ISNUMBER(D2), LEFT(CELL("format", D2))="D")))))</formula1>
    </dataValidation>
    <dataValidation allowBlank="1" showDropDown="1" sqref="A2:A13"/>
  </dataValidations>
  <drawing r:id="rId1"/>
  <tableParts count="1">
    <tablePart r:id="rId3"/>
  </tableParts>
</worksheet>
</file>